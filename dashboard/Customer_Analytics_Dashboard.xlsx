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Data" sheetId="2" state="visible" r:id="rId2"/>
    <sheet xmlns:r="http://schemas.openxmlformats.org/officeDocument/2006/relationships" name="Monthly Metr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color rgb="00666666"/>
      <sz val="10"/>
    </font>
    <font>
      <name val="Calibri"/>
      <b val="1"/>
      <color rgb="001A1A1A"/>
      <sz val="22"/>
    </font>
    <font>
      <name val="Calibri"/>
      <b val="1"/>
      <color rgb="00C0392B"/>
      <sz val="10"/>
    </font>
    <font>
      <name val="Calibri"/>
      <b val="1"/>
      <color rgb="0012805C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0D5C6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0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Quarterly Active Customer Growth Trend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'Data'!B1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'Data'!$A$2:$A$6</f>
            </numRef>
          </cat>
          <val>
            <numRef>
              <f>'Data'!$B$2:$B$6</f>
            </numRef>
          </val>
        </ser>
        <gapWidth val="150"/>
        <axId val="10"/>
        <axId val="100"/>
      </barChart>
      <lineChart>
        <grouping val="standard"/>
        <ser>
          <idx val="1"/>
          <order val="1"/>
          <tx>
            <strRef>
              <f>'Data'!C1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'Data'!$C$2:$C$6</f>
            </numRef>
          </val>
        </ser>
        <axId val="10"/>
        <axId val="2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Active Customers</a:t>
                </a:r>
              </a:p>
            </rich>
          </tx>
        </title>
        <majorTickMark val="none"/>
        <minorTickMark val="none"/>
        <crossAx val="10"/>
        <crosses val="min"/>
      </valAx>
      <valAx>
        <axId val="2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Growth %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7</row>
      <rowOff>0</rowOff>
    </from>
    <ext cx="576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N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2">
      <c r="B2" s="1" t="inlineStr">
        <is>
          <t>Customer Analytics Dashboard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4">
      <c r="B4" s="3" t="inlineStr">
        <is>
          <t>Active Customers</t>
        </is>
      </c>
      <c r="D4" s="3" t="inlineStr">
        <is>
          <t>New Customers</t>
        </is>
      </c>
      <c r="F4" s="3" t="inlineStr">
        <is>
          <t>Customers Churned</t>
        </is>
      </c>
      <c r="H4" s="3" t="inlineStr">
        <is>
          <t>Customer LTV (proxy)</t>
        </is>
      </c>
      <c r="J4" s="3" t="inlineStr">
        <is>
          <t>Churn Rate</t>
        </is>
      </c>
      <c r="L4" s="3" t="inlineStr">
        <is>
          <t>Retention Rate</t>
        </is>
      </c>
    </row>
    <row r="5">
      <c r="B5" s="4" t="inlineStr">
        <is>
          <t>227</t>
        </is>
      </c>
      <c r="D5" s="4" t="inlineStr">
        <is>
          <t>47</t>
        </is>
      </c>
      <c r="F5" s="4" t="inlineStr">
        <is>
          <t>125</t>
        </is>
      </c>
      <c r="H5" s="4" t="inlineStr">
        <is>
          <t>$64,054</t>
        </is>
      </c>
      <c r="J5" s="4" t="inlineStr">
        <is>
          <t>57.87%</t>
        </is>
      </c>
      <c r="L5" s="4" t="inlineStr">
        <is>
          <t>42.13%</t>
        </is>
      </c>
    </row>
    <row r="6">
      <c r="B6" s="3" t="inlineStr"/>
      <c r="D6" s="5" t="inlineStr">
        <is>
          <t>Prev: 62</t>
        </is>
      </c>
      <c r="F6" s="5" t="inlineStr">
        <is>
          <t>Prev: 95</t>
        </is>
      </c>
      <c r="H6" s="6" t="inlineStr">
        <is>
          <t>Prev: $61,383</t>
        </is>
      </c>
      <c r="J6" s="5" t="inlineStr">
        <is>
          <t>Prev: 52.78%</t>
        </is>
      </c>
      <c r="L6" s="5" t="inlineStr">
        <is>
          <t>Prev: 47.22%</t>
        </is>
      </c>
    </row>
  </sheetData>
  <mergeCells count="1">
    <mergeCell ref="B2:N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Quarter</t>
        </is>
      </c>
      <c r="B1" t="inlineStr">
        <is>
          <t>Active Customers</t>
        </is>
      </c>
      <c r="C1" t="inlineStr">
        <is>
          <t>Growth %</t>
        </is>
      </c>
    </row>
    <row r="2">
      <c r="A2" t="inlineStr">
        <is>
          <t>2018Q3</t>
        </is>
      </c>
      <c r="B2" t="n">
        <v>52</v>
      </c>
    </row>
    <row r="3">
      <c r="A3" t="inlineStr">
        <is>
          <t>2018Q4</t>
        </is>
      </c>
      <c r="B3" t="n">
        <v>137</v>
      </c>
      <c r="C3" t="n">
        <v>163.5</v>
      </c>
    </row>
    <row r="4">
      <c r="A4" t="inlineStr">
        <is>
          <t>2019Q1</t>
        </is>
      </c>
      <c r="B4" t="n">
        <v>235</v>
      </c>
      <c r="C4" t="n">
        <v>71.5</v>
      </c>
    </row>
    <row r="5">
      <c r="A5" t="inlineStr">
        <is>
          <t>2019Q2</t>
        </is>
      </c>
      <c r="B5" t="n">
        <v>361</v>
      </c>
      <c r="C5" t="n">
        <v>53.6</v>
      </c>
    </row>
    <row r="6">
      <c r="A6" t="inlineStr">
        <is>
          <t>2019Q3</t>
        </is>
      </c>
      <c r="B6" t="n">
        <v>508</v>
      </c>
      <c r="C6" t="n">
        <v>40.7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year_month</t>
        </is>
      </c>
      <c r="B1" s="7" t="inlineStr">
        <is>
          <t>active</t>
        </is>
      </c>
      <c r="C1" s="7" t="inlineStr">
        <is>
          <t>churned</t>
        </is>
      </c>
      <c r="D1" s="7" t="inlineStr">
        <is>
          <t>retained</t>
        </is>
      </c>
      <c r="E1" s="7" t="inlineStr">
        <is>
          <t>churn_rate</t>
        </is>
      </c>
      <c r="F1" s="7" t="inlineStr">
        <is>
          <t>retention_rate</t>
        </is>
      </c>
      <c r="G1" s="7" t="inlineStr">
        <is>
          <t>new_customers</t>
        </is>
      </c>
    </row>
    <row r="2">
      <c r="A2" t="inlineStr">
        <is>
          <t>2018-08</t>
        </is>
      </c>
      <c r="B2" t="n">
        <v>16</v>
      </c>
      <c r="C2" t="n">
        <v>10</v>
      </c>
      <c r="D2" t="n">
        <v>3</v>
      </c>
      <c r="E2" t="n">
        <v>0.7692307692307693</v>
      </c>
      <c r="F2" t="n">
        <v>0.2307692307692308</v>
      </c>
      <c r="G2" t="n">
        <v>13</v>
      </c>
    </row>
    <row r="3">
      <c r="A3" t="inlineStr">
        <is>
          <t>2018-09</t>
        </is>
      </c>
      <c r="B3" t="n">
        <v>35</v>
      </c>
      <c r="C3" t="n">
        <v>10</v>
      </c>
      <c r="D3" t="n">
        <v>6</v>
      </c>
      <c r="E3" t="n">
        <v>0.625</v>
      </c>
      <c r="F3" t="n">
        <v>0.375</v>
      </c>
      <c r="G3" t="n">
        <v>26</v>
      </c>
    </row>
    <row r="4">
      <c r="A4" t="inlineStr">
        <is>
          <t>2018-10</t>
        </is>
      </c>
      <c r="B4" t="n">
        <v>54</v>
      </c>
      <c r="C4" t="n">
        <v>27</v>
      </c>
      <c r="D4" t="n">
        <v>8</v>
      </c>
      <c r="E4" t="n">
        <v>0.7714285714285715</v>
      </c>
      <c r="F4" t="n">
        <v>0.2285714285714286</v>
      </c>
      <c r="G4" t="n">
        <v>38</v>
      </c>
    </row>
    <row r="5">
      <c r="A5" t="inlineStr">
        <is>
          <t>2018-11</t>
        </is>
      </c>
      <c r="B5" t="n">
        <v>62</v>
      </c>
      <c r="C5" t="n">
        <v>30</v>
      </c>
      <c r="D5" t="n">
        <v>24</v>
      </c>
      <c r="E5" t="n">
        <v>0.5555555555555556</v>
      </c>
      <c r="F5" t="n">
        <v>0.4444444444444444</v>
      </c>
      <c r="G5" t="n">
        <v>30</v>
      </c>
    </row>
    <row r="6">
      <c r="A6" t="inlineStr">
        <is>
          <t>2018-12</t>
        </is>
      </c>
      <c r="B6" t="n">
        <v>73</v>
      </c>
      <c r="C6" t="n">
        <v>45</v>
      </c>
      <c r="D6" t="n">
        <v>17</v>
      </c>
      <c r="E6" t="n">
        <v>0.7258064516129032</v>
      </c>
      <c r="F6" t="n">
        <v>0.2741935483870968</v>
      </c>
      <c r="G6" t="n">
        <v>38</v>
      </c>
    </row>
    <row r="7">
      <c r="A7" t="inlineStr">
        <is>
          <t>2019-01</t>
        </is>
      </c>
      <c r="B7" t="n">
        <v>101</v>
      </c>
      <c r="C7" t="n">
        <v>46</v>
      </c>
      <c r="D7" t="n">
        <v>27</v>
      </c>
      <c r="E7" t="n">
        <v>0.6301369863013698</v>
      </c>
      <c r="F7" t="n">
        <v>0.3698630136986301</v>
      </c>
      <c r="G7" t="n">
        <v>46</v>
      </c>
    </row>
    <row r="8">
      <c r="A8" t="inlineStr">
        <is>
          <t>2019-02</t>
        </is>
      </c>
      <c r="B8" t="n">
        <v>104</v>
      </c>
      <c r="C8" t="n">
        <v>69</v>
      </c>
      <c r="D8" t="n">
        <v>32</v>
      </c>
      <c r="E8" t="n">
        <v>0.6831683168316832</v>
      </c>
      <c r="F8" t="n">
        <v>0.3168316831683168</v>
      </c>
      <c r="G8" t="n">
        <v>41</v>
      </c>
    </row>
    <row r="9">
      <c r="A9" t="inlineStr">
        <is>
          <t>2019-03</t>
        </is>
      </c>
      <c r="B9" t="n">
        <v>129</v>
      </c>
      <c r="C9" t="n">
        <v>65</v>
      </c>
      <c r="D9" t="n">
        <v>39</v>
      </c>
      <c r="E9" t="n">
        <v>0.625</v>
      </c>
      <c r="F9" t="n">
        <v>0.375</v>
      </c>
      <c r="G9" t="n">
        <v>46</v>
      </c>
    </row>
    <row r="10">
      <c r="A10" t="inlineStr">
        <is>
          <t>2019-04</t>
        </is>
      </c>
      <c r="B10" t="n">
        <v>150</v>
      </c>
      <c r="C10" t="n">
        <v>85</v>
      </c>
      <c r="D10" t="n">
        <v>44</v>
      </c>
      <c r="E10" t="n">
        <v>0.6589147286821705</v>
      </c>
      <c r="F10" t="n">
        <v>0.3410852713178295</v>
      </c>
      <c r="G10" t="n">
        <v>61</v>
      </c>
    </row>
    <row r="11">
      <c r="A11" t="inlineStr">
        <is>
          <t>2019-05</t>
        </is>
      </c>
      <c r="B11" t="n">
        <v>180</v>
      </c>
      <c r="C11" t="n">
        <v>86</v>
      </c>
      <c r="D11" t="n">
        <v>64</v>
      </c>
      <c r="E11" t="n">
        <v>0.5733333333333334</v>
      </c>
      <c r="F11" t="n">
        <v>0.4266666666666667</v>
      </c>
      <c r="G11" t="n">
        <v>46</v>
      </c>
    </row>
    <row r="12">
      <c r="A12" t="inlineStr">
        <is>
          <t>2019-06</t>
        </is>
      </c>
      <c r="B12" t="n">
        <v>216</v>
      </c>
      <c r="C12" t="n">
        <v>95</v>
      </c>
      <c r="D12" t="n">
        <v>85</v>
      </c>
      <c r="E12" t="n">
        <v>0.5277777777777778</v>
      </c>
      <c r="F12" t="n">
        <v>0.4722222222222222</v>
      </c>
      <c r="G12" t="n">
        <v>62</v>
      </c>
    </row>
    <row r="13">
      <c r="A13" t="inlineStr">
        <is>
          <t>2019-07</t>
        </is>
      </c>
      <c r="B13" t="n">
        <v>227</v>
      </c>
      <c r="C13" t="n">
        <v>125</v>
      </c>
      <c r="D13" t="n">
        <v>91</v>
      </c>
      <c r="E13" t="n">
        <v>0.5787037037037037</v>
      </c>
      <c r="F13" t="n">
        <v>0.4212962962962963</v>
      </c>
      <c r="G13" t="n">
        <v>47</v>
      </c>
    </row>
    <row r="14">
      <c r="A14" t="inlineStr">
        <is>
          <t>2019-08</t>
        </is>
      </c>
      <c r="B14" t="n">
        <v>280</v>
      </c>
      <c r="C14" t="n">
        <v>104</v>
      </c>
      <c r="D14" t="n">
        <v>123</v>
      </c>
      <c r="E14" t="n">
        <v>0.4581497797356828</v>
      </c>
      <c r="F14" t="n">
        <v>0.5418502202643172</v>
      </c>
      <c r="G14" t="n">
        <v>70</v>
      </c>
    </row>
    <row r="15">
      <c r="A15" t="inlineStr">
        <is>
          <t>2019-09</t>
        </is>
      </c>
      <c r="B15" t="n">
        <v>317</v>
      </c>
      <c r="C15" t="n">
        <v>129</v>
      </c>
      <c r="D15" t="n">
        <v>151</v>
      </c>
      <c r="E15" t="n">
        <v>0.4607142857142857</v>
      </c>
      <c r="F15" t="n">
        <v>0.5392857142857143</v>
      </c>
      <c r="G15" t="n">
        <v>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2026-09-30T10:46:19Z</dcterms:created>
  <dcterms:modified xmlns:dcterms="http://purl.org/dc/terms/" xmlns:xsi="http://www.w3.org/2001/XMLSchema-instance" xsi:type="dcterms:W3CDTF">2026-09-30T10:46:19Z</dcterms:modified>
</cp:coreProperties>
</file>